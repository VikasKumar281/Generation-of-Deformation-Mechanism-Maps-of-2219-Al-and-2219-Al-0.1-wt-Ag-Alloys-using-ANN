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 8\Minor Project\Deformation Data\"/>
    </mc:Choice>
  </mc:AlternateContent>
  <xr:revisionPtr revIDLastSave="0" documentId="13_ncr:1_{F61278D0-A8E8-4C74-8650-D79C2D87D0D1}" xr6:coauthVersionLast="47" xr6:coauthVersionMax="47" xr10:uidLastSave="{00000000-0000-0000-0000-000000000000}"/>
  <bookViews>
    <workbookView xWindow="-108" yWindow="-108" windowWidth="23256" windowHeight="13896" xr2:uid="{CB03B2A5-865E-4346-8C09-11E1A3204C7F}"/>
  </bookViews>
  <sheets>
    <sheet name="testin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1" l="1"/>
  <c r="H32" i="1"/>
  <c r="G32" i="1"/>
  <c r="F32" i="1"/>
  <c r="E32" i="1"/>
  <c r="D32" i="1"/>
  <c r="C32" i="1"/>
  <c r="B32" i="1"/>
  <c r="I27" i="1"/>
  <c r="H27" i="1"/>
  <c r="G27" i="1"/>
  <c r="F27" i="1"/>
  <c r="E27" i="1"/>
  <c r="D27" i="1"/>
  <c r="C27" i="1"/>
  <c r="B27" i="1"/>
  <c r="I22" i="1"/>
  <c r="H22" i="1"/>
  <c r="G22" i="1"/>
  <c r="F22" i="1"/>
  <c r="E22" i="1"/>
  <c r="D22" i="1"/>
  <c r="C22" i="1"/>
  <c r="B22" i="1"/>
  <c r="I17" i="1"/>
  <c r="H17" i="1"/>
  <c r="G17" i="1"/>
  <c r="F17" i="1"/>
  <c r="E17" i="1"/>
  <c r="D17" i="1"/>
  <c r="C17" i="1"/>
  <c r="B17" i="1"/>
  <c r="I12" i="1"/>
  <c r="H12" i="1"/>
  <c r="G12" i="1"/>
  <c r="F12" i="1"/>
  <c r="E12" i="1"/>
  <c r="D12" i="1"/>
  <c r="C12" i="1"/>
  <c r="B12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<sst xmlns="http://schemas.openxmlformats.org/spreadsheetml/2006/main" count="28" uniqueCount="8">
  <si>
    <t>Testing</t>
  </si>
  <si>
    <t>Data</t>
  </si>
  <si>
    <t xml:space="preserve">Sample ID: </t>
  </si>
  <si>
    <t>Strain</t>
  </si>
  <si>
    <t>strain rate</t>
  </si>
  <si>
    <t xml:space="preserve">temperature </t>
  </si>
  <si>
    <t xml:space="preserve">Flow stress </t>
  </si>
  <si>
    <t>ALLOY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</si>
</sst>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E2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2" xfId="0" applyFill="1" applyBorder="1"/>
    <xf numFmtId="0" fontId="0" fillId="0" borderId="3" xfId="0" applyBorder="1"/>
    <xf numFmtId="0" fontId="0" fillId="0" borderId="0" xfId="0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em%208\Minor%20Project\Deformation%20Data\data_summary_Alloy_B.xlsx" TargetMode="External"/><Relationship Id="rId1" Type="http://schemas.openxmlformats.org/officeDocument/2006/relationships/externalLinkPath" Target="data_summary_Alloy_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ummary"/>
    </sheetNames>
    <sheetDataSet>
      <sheetData sheetId="0">
        <row r="6">
          <cell r="C6">
            <v>191.1</v>
          </cell>
          <cell r="D6">
            <v>161.9</v>
          </cell>
          <cell r="F6">
            <v>97.3</v>
          </cell>
        </row>
        <row r="7">
          <cell r="C7">
            <v>189.5</v>
          </cell>
          <cell r="G7">
            <v>97.8</v>
          </cell>
        </row>
        <row r="9">
          <cell r="C9">
            <v>194.7</v>
          </cell>
          <cell r="G9">
            <v>135.9</v>
          </cell>
        </row>
        <row r="10">
          <cell r="D10">
            <v>199.9</v>
          </cell>
          <cell r="F10">
            <v>175.5</v>
          </cell>
        </row>
        <row r="12">
          <cell r="D12">
            <v>167.6</v>
          </cell>
          <cell r="F12">
            <v>96.3</v>
          </cell>
        </row>
        <row r="13">
          <cell r="C13">
            <v>204.4</v>
          </cell>
          <cell r="G13">
            <v>95.7</v>
          </cell>
        </row>
        <row r="15">
          <cell r="C15">
            <v>217.5</v>
          </cell>
          <cell r="G15">
            <v>136.80000000000001</v>
          </cell>
        </row>
        <row r="16">
          <cell r="D16">
            <v>215.7</v>
          </cell>
          <cell r="F16">
            <v>182</v>
          </cell>
        </row>
        <row r="18">
          <cell r="D18">
            <v>165.6</v>
          </cell>
          <cell r="F18">
            <v>93</v>
          </cell>
        </row>
        <row r="19">
          <cell r="C19">
            <v>209.7</v>
          </cell>
          <cell r="G19">
            <v>93.5</v>
          </cell>
        </row>
        <row r="21">
          <cell r="C21">
            <v>226.3</v>
          </cell>
          <cell r="G21">
            <v>131.30000000000001</v>
          </cell>
        </row>
        <row r="22">
          <cell r="D22">
            <v>216.7</v>
          </cell>
          <cell r="F22">
            <v>178.5</v>
          </cell>
        </row>
        <row r="24">
          <cell r="D24">
            <v>162.4</v>
          </cell>
          <cell r="F24">
            <v>90.2</v>
          </cell>
        </row>
        <row r="25">
          <cell r="C25">
            <v>212.2</v>
          </cell>
          <cell r="G25">
            <v>92.4</v>
          </cell>
        </row>
        <row r="27">
          <cell r="C27">
            <v>228.7</v>
          </cell>
          <cell r="G27">
            <v>126.5</v>
          </cell>
        </row>
        <row r="28">
          <cell r="D28">
            <v>215.6</v>
          </cell>
          <cell r="F28">
            <v>172.5</v>
          </cell>
        </row>
        <row r="30">
          <cell r="D30">
            <v>156.6</v>
          </cell>
          <cell r="F30">
            <v>85.3</v>
          </cell>
        </row>
        <row r="31">
          <cell r="C31">
            <v>212.5</v>
          </cell>
          <cell r="G31">
            <v>87.9</v>
          </cell>
        </row>
        <row r="33">
          <cell r="C33">
            <v>230</v>
          </cell>
          <cell r="G33">
            <v>123.3</v>
          </cell>
        </row>
        <row r="34">
          <cell r="D34">
            <v>216</v>
          </cell>
          <cell r="F34">
            <v>168.9</v>
          </cell>
        </row>
        <row r="36">
          <cell r="D36">
            <v>152.19999999999999</v>
          </cell>
          <cell r="F36">
            <v>81.3</v>
          </cell>
        </row>
        <row r="37">
          <cell r="C37">
            <v>214.2</v>
          </cell>
          <cell r="G37">
            <v>87.3</v>
          </cell>
        </row>
        <row r="39">
          <cell r="C39">
            <v>230.4</v>
          </cell>
          <cell r="G39">
            <v>120.9</v>
          </cell>
        </row>
        <row r="40">
          <cell r="D40">
            <v>217</v>
          </cell>
          <cell r="F40">
            <v>167.1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84E0-E3E3-440B-8516-60AB5122F8C9}">
  <dimension ref="A1:M32"/>
  <sheetViews>
    <sheetView tabSelected="1" workbookViewId="0">
      <selection activeCell="B2" sqref="B2"/>
    </sheetView>
  </sheetViews>
  <sheetFormatPr defaultRowHeight="14.4" x14ac:dyDescent="0.3"/>
  <cols>
    <col min="1" max="1" width="14.5546875" customWidth="1"/>
  </cols>
  <sheetData>
    <row r="1" spans="1:13" x14ac:dyDescent="0.3">
      <c r="A1" s="1" t="s">
        <v>0</v>
      </c>
      <c r="B1" s="1" t="s">
        <v>1</v>
      </c>
    </row>
    <row r="2" spans="1:13" x14ac:dyDescent="0.3">
      <c r="A2" t="s">
        <v>2</v>
      </c>
      <c r="B2" s="2" t="s">
        <v>7</v>
      </c>
    </row>
    <row r="4" spans="1:13" x14ac:dyDescent="0.3">
      <c r="A4" s="3" t="s">
        <v>3</v>
      </c>
      <c r="B4" s="4">
        <v>0.1</v>
      </c>
      <c r="C4" s="5">
        <v>0.1</v>
      </c>
      <c r="D4" s="6">
        <v>0.1</v>
      </c>
      <c r="E4" s="7">
        <v>0.1</v>
      </c>
      <c r="F4" s="4">
        <v>0.1</v>
      </c>
      <c r="G4" s="5">
        <v>0.1</v>
      </c>
      <c r="H4" s="6">
        <v>0.1</v>
      </c>
      <c r="I4" s="8">
        <v>0.1</v>
      </c>
      <c r="J4" s="9"/>
      <c r="K4" s="10"/>
      <c r="L4" s="10"/>
      <c r="M4" s="10"/>
    </row>
    <row r="5" spans="1:13" x14ac:dyDescent="0.3">
      <c r="A5" s="3" t="s">
        <v>4</v>
      </c>
      <c r="B5" s="4">
        <v>1E-3</v>
      </c>
      <c r="C5" s="5">
        <v>1E-3</v>
      </c>
      <c r="D5" s="6">
        <v>0.01</v>
      </c>
      <c r="E5" s="7">
        <v>0.01</v>
      </c>
      <c r="F5" s="4">
        <v>1</v>
      </c>
      <c r="G5" s="5">
        <v>1</v>
      </c>
      <c r="H5" s="6">
        <v>10</v>
      </c>
      <c r="I5" s="8">
        <v>10</v>
      </c>
      <c r="J5" s="9"/>
      <c r="K5" s="10"/>
      <c r="L5" s="10"/>
      <c r="M5" s="10"/>
    </row>
    <row r="6" spans="1:13" x14ac:dyDescent="0.3">
      <c r="A6" s="3" t="s">
        <v>5</v>
      </c>
      <c r="B6" s="4">
        <v>623</v>
      </c>
      <c r="C6" s="5">
        <v>723</v>
      </c>
      <c r="D6" s="6">
        <v>573</v>
      </c>
      <c r="E6" s="7">
        <v>773</v>
      </c>
      <c r="F6" s="4">
        <v>573</v>
      </c>
      <c r="G6" s="5">
        <v>773</v>
      </c>
      <c r="H6" s="6">
        <v>623</v>
      </c>
      <c r="I6" s="8">
        <v>723</v>
      </c>
      <c r="J6" s="9"/>
      <c r="K6" s="10"/>
      <c r="L6" s="10"/>
      <c r="M6" s="10"/>
    </row>
    <row r="7" spans="1:13" x14ac:dyDescent="0.3">
      <c r="A7" s="3" t="s">
        <v>6</v>
      </c>
      <c r="B7" s="4">
        <f>'[1]Data summary'!D6</f>
        <v>161.9</v>
      </c>
      <c r="C7" s="5">
        <f>'[1]Data summary'!F6</f>
        <v>97.3</v>
      </c>
      <c r="D7" s="6">
        <f>'[1]Data summary'!C7</f>
        <v>189.5</v>
      </c>
      <c r="E7" s="7">
        <f>'[1]Data summary'!G7</f>
        <v>97.8</v>
      </c>
      <c r="F7" s="4">
        <f>'[1]Data summary'!C9</f>
        <v>194.7</v>
      </c>
      <c r="G7" s="5">
        <f>'[1]Data summary'!G9</f>
        <v>135.9</v>
      </c>
      <c r="H7" s="6">
        <f>'[1]Data summary'!D10</f>
        <v>199.9</v>
      </c>
      <c r="I7" s="8">
        <f>'[1]Data summary'!F10</f>
        <v>175.5</v>
      </c>
      <c r="J7" s="9"/>
      <c r="K7" s="10"/>
      <c r="L7" s="10"/>
      <c r="M7" s="10"/>
    </row>
    <row r="8" spans="1:13" x14ac:dyDescent="0.3">
      <c r="A8" s="11"/>
      <c r="B8" s="11"/>
      <c r="C8" s="11"/>
      <c r="D8" s="11"/>
      <c r="E8" s="11"/>
      <c r="F8" s="11"/>
      <c r="G8" s="11"/>
      <c r="H8" s="11"/>
      <c r="I8" s="11"/>
      <c r="K8" s="10"/>
      <c r="L8" s="10"/>
      <c r="M8" s="10"/>
    </row>
    <row r="9" spans="1:13" x14ac:dyDescent="0.3">
      <c r="A9" s="3" t="s">
        <v>3</v>
      </c>
      <c r="B9" s="4">
        <v>0.2</v>
      </c>
      <c r="C9" s="5">
        <v>0.2</v>
      </c>
      <c r="D9" s="6">
        <v>0.2</v>
      </c>
      <c r="E9" s="7">
        <v>0.2</v>
      </c>
      <c r="F9" s="4">
        <v>0.2</v>
      </c>
      <c r="G9" s="5">
        <v>0.2</v>
      </c>
      <c r="H9" s="6">
        <v>0.2</v>
      </c>
      <c r="I9" s="8">
        <v>0.2</v>
      </c>
      <c r="J9" s="9"/>
      <c r="K9" s="10"/>
      <c r="L9" s="10"/>
      <c r="M9" s="10"/>
    </row>
    <row r="10" spans="1:13" x14ac:dyDescent="0.3">
      <c r="A10" s="3" t="s">
        <v>4</v>
      </c>
      <c r="B10" s="4">
        <v>1E-3</v>
      </c>
      <c r="C10" s="5">
        <v>1E-3</v>
      </c>
      <c r="D10" s="6">
        <v>0.01</v>
      </c>
      <c r="E10" s="7">
        <v>0.01</v>
      </c>
      <c r="F10" s="4">
        <v>1</v>
      </c>
      <c r="G10" s="5">
        <v>1</v>
      </c>
      <c r="H10" s="6">
        <v>10</v>
      </c>
      <c r="I10" s="8">
        <v>10</v>
      </c>
      <c r="J10" s="9"/>
    </row>
    <row r="11" spans="1:13" x14ac:dyDescent="0.3">
      <c r="A11" s="3" t="s">
        <v>5</v>
      </c>
      <c r="B11" s="4">
        <v>623</v>
      </c>
      <c r="C11" s="5">
        <v>723</v>
      </c>
      <c r="D11" s="6">
        <v>573</v>
      </c>
      <c r="E11" s="7">
        <v>773</v>
      </c>
      <c r="F11" s="4">
        <v>573</v>
      </c>
      <c r="G11" s="5">
        <v>773</v>
      </c>
      <c r="H11" s="6">
        <v>623</v>
      </c>
      <c r="I11" s="8">
        <v>723</v>
      </c>
      <c r="J11" s="9"/>
    </row>
    <row r="12" spans="1:13" x14ac:dyDescent="0.3">
      <c r="A12" s="3" t="s">
        <v>6</v>
      </c>
      <c r="B12" s="4">
        <f>'[1]Data summary'!D12</f>
        <v>167.6</v>
      </c>
      <c r="C12" s="5">
        <f>'[1]Data summary'!F12</f>
        <v>96.3</v>
      </c>
      <c r="D12" s="6">
        <f>'[1]Data summary'!C13</f>
        <v>204.4</v>
      </c>
      <c r="E12" s="7">
        <f>'[1]Data summary'!G13</f>
        <v>95.7</v>
      </c>
      <c r="F12" s="4">
        <f>'[1]Data summary'!C15</f>
        <v>217.5</v>
      </c>
      <c r="G12" s="5">
        <f>'[1]Data summary'!G15</f>
        <v>136.80000000000001</v>
      </c>
      <c r="H12" s="6">
        <f>'[1]Data summary'!D16</f>
        <v>215.7</v>
      </c>
      <c r="I12" s="8">
        <f>'[1]Data summary'!F16</f>
        <v>182</v>
      </c>
      <c r="J12" s="9"/>
      <c r="K12" s="10"/>
      <c r="L12" s="10"/>
      <c r="M12" s="10"/>
    </row>
    <row r="13" spans="1:13" x14ac:dyDescent="0.3">
      <c r="A13" s="11"/>
      <c r="B13" s="11"/>
      <c r="C13" s="11"/>
      <c r="D13" s="11"/>
      <c r="E13" s="11"/>
      <c r="F13" s="11"/>
      <c r="G13" s="11"/>
      <c r="H13" s="11"/>
      <c r="I13" s="11"/>
    </row>
    <row r="14" spans="1:13" x14ac:dyDescent="0.3">
      <c r="A14" s="3" t="s">
        <v>3</v>
      </c>
      <c r="B14" s="4">
        <v>0.3</v>
      </c>
      <c r="C14" s="5">
        <v>0.3</v>
      </c>
      <c r="D14" s="6">
        <v>0.3</v>
      </c>
      <c r="E14" s="7">
        <v>0.3</v>
      </c>
      <c r="F14" s="4">
        <v>0.3</v>
      </c>
      <c r="G14" s="5">
        <v>0.3</v>
      </c>
      <c r="H14" s="6">
        <v>0.3</v>
      </c>
      <c r="I14" s="8">
        <v>0.3</v>
      </c>
      <c r="J14" s="9"/>
    </row>
    <row r="15" spans="1:13" x14ac:dyDescent="0.3">
      <c r="A15" s="3" t="s">
        <v>4</v>
      </c>
      <c r="B15" s="4">
        <v>1E-3</v>
      </c>
      <c r="C15" s="5">
        <v>1E-3</v>
      </c>
      <c r="D15" s="6">
        <v>0.01</v>
      </c>
      <c r="E15" s="7">
        <v>0.01</v>
      </c>
      <c r="F15" s="4">
        <v>1</v>
      </c>
      <c r="G15" s="5">
        <v>1</v>
      </c>
      <c r="H15" s="6">
        <v>10</v>
      </c>
      <c r="I15" s="8">
        <v>10</v>
      </c>
      <c r="J15" s="9"/>
    </row>
    <row r="16" spans="1:13" x14ac:dyDescent="0.3">
      <c r="A16" s="3" t="s">
        <v>5</v>
      </c>
      <c r="B16" s="4">
        <v>623</v>
      </c>
      <c r="C16" s="5">
        <v>723</v>
      </c>
      <c r="D16" s="6">
        <v>573</v>
      </c>
      <c r="E16" s="7">
        <v>773</v>
      </c>
      <c r="F16" s="4">
        <v>573</v>
      </c>
      <c r="G16" s="5">
        <v>773</v>
      </c>
      <c r="H16" s="6">
        <v>623</v>
      </c>
      <c r="I16" s="8">
        <v>723</v>
      </c>
      <c r="J16" s="9"/>
    </row>
    <row r="17" spans="1:10" x14ac:dyDescent="0.3">
      <c r="A17" s="3" t="s">
        <v>6</v>
      </c>
      <c r="B17" s="4">
        <f>'[1]Data summary'!D18</f>
        <v>165.6</v>
      </c>
      <c r="C17" s="5">
        <f>'[1]Data summary'!F18</f>
        <v>93</v>
      </c>
      <c r="D17" s="6">
        <f>'[1]Data summary'!C19</f>
        <v>209.7</v>
      </c>
      <c r="E17" s="7">
        <f>'[1]Data summary'!G19</f>
        <v>93.5</v>
      </c>
      <c r="F17" s="4">
        <f>'[1]Data summary'!C21</f>
        <v>226.3</v>
      </c>
      <c r="G17" s="5">
        <f>'[1]Data summary'!G21</f>
        <v>131.30000000000001</v>
      </c>
      <c r="H17" s="6">
        <f>'[1]Data summary'!D22</f>
        <v>216.7</v>
      </c>
      <c r="I17" s="8">
        <f>'[1]Data summary'!F22</f>
        <v>178.5</v>
      </c>
      <c r="J17" s="9"/>
    </row>
    <row r="18" spans="1:10" x14ac:dyDescent="0.3">
      <c r="A18" s="11"/>
      <c r="B18" s="11"/>
      <c r="C18" s="11"/>
      <c r="D18" s="11"/>
      <c r="E18" s="11"/>
      <c r="F18" s="11"/>
      <c r="G18" s="11"/>
      <c r="H18" s="11"/>
      <c r="I18" s="11"/>
    </row>
    <row r="19" spans="1:10" x14ac:dyDescent="0.3">
      <c r="A19" s="3" t="s">
        <v>3</v>
      </c>
      <c r="B19" s="4">
        <v>0.4</v>
      </c>
      <c r="C19" s="5">
        <v>0.4</v>
      </c>
      <c r="D19" s="6">
        <v>0.4</v>
      </c>
      <c r="E19" s="7">
        <v>0.4</v>
      </c>
      <c r="F19" s="4">
        <v>0.4</v>
      </c>
      <c r="G19" s="5">
        <v>0.4</v>
      </c>
      <c r="H19" s="6">
        <v>0.4</v>
      </c>
      <c r="I19" s="8">
        <v>0.4</v>
      </c>
      <c r="J19" s="9"/>
    </row>
    <row r="20" spans="1:10" x14ac:dyDescent="0.3">
      <c r="A20" s="3" t="s">
        <v>4</v>
      </c>
      <c r="B20" s="4">
        <v>1E-3</v>
      </c>
      <c r="C20" s="5">
        <v>1E-3</v>
      </c>
      <c r="D20" s="6">
        <v>0.01</v>
      </c>
      <c r="E20" s="7">
        <v>0.01</v>
      </c>
      <c r="F20" s="4">
        <v>1</v>
      </c>
      <c r="G20" s="5">
        <v>1</v>
      </c>
      <c r="H20" s="6">
        <v>10</v>
      </c>
      <c r="I20" s="8">
        <v>10</v>
      </c>
      <c r="J20" s="9"/>
    </row>
    <row r="21" spans="1:10" x14ac:dyDescent="0.3">
      <c r="A21" s="3" t="s">
        <v>5</v>
      </c>
      <c r="B21" s="4">
        <v>623</v>
      </c>
      <c r="C21" s="5">
        <v>723</v>
      </c>
      <c r="D21" s="6">
        <v>573</v>
      </c>
      <c r="E21" s="7">
        <v>773</v>
      </c>
      <c r="F21" s="4">
        <v>573</v>
      </c>
      <c r="G21" s="5">
        <v>773</v>
      </c>
      <c r="H21" s="6">
        <v>623</v>
      </c>
      <c r="I21" s="8">
        <v>723</v>
      </c>
      <c r="J21" s="9"/>
    </row>
    <row r="22" spans="1:10" x14ac:dyDescent="0.3">
      <c r="A22" s="3" t="s">
        <v>6</v>
      </c>
      <c r="B22" s="4">
        <f>'[1]Data summary'!D24</f>
        <v>162.4</v>
      </c>
      <c r="C22" s="5">
        <f>'[1]Data summary'!F24</f>
        <v>90.2</v>
      </c>
      <c r="D22" s="6">
        <f>'[1]Data summary'!C25</f>
        <v>212.2</v>
      </c>
      <c r="E22" s="7">
        <f>'[1]Data summary'!G25</f>
        <v>92.4</v>
      </c>
      <c r="F22" s="4">
        <f>'[1]Data summary'!C27</f>
        <v>228.7</v>
      </c>
      <c r="G22" s="5">
        <f>'[1]Data summary'!G27</f>
        <v>126.5</v>
      </c>
      <c r="H22" s="6">
        <f>'[1]Data summary'!D28</f>
        <v>215.6</v>
      </c>
      <c r="I22" s="8">
        <f>'[1]Data summary'!F28</f>
        <v>172.5</v>
      </c>
      <c r="J22" s="9"/>
    </row>
    <row r="23" spans="1:10" x14ac:dyDescent="0.3">
      <c r="A23" s="11"/>
      <c r="B23" s="11"/>
      <c r="C23" s="11"/>
      <c r="D23" s="11"/>
      <c r="E23" s="11"/>
      <c r="F23" s="11"/>
      <c r="G23" s="11"/>
      <c r="H23" s="11"/>
      <c r="I23" s="11"/>
    </row>
    <row r="24" spans="1:10" x14ac:dyDescent="0.3">
      <c r="A24" s="3" t="s">
        <v>3</v>
      </c>
      <c r="B24" s="4">
        <v>0.5</v>
      </c>
      <c r="C24" s="5">
        <v>0.5</v>
      </c>
      <c r="D24" s="6">
        <v>0.5</v>
      </c>
      <c r="E24" s="7">
        <v>0.5</v>
      </c>
      <c r="F24" s="4">
        <v>0.5</v>
      </c>
      <c r="G24" s="5">
        <v>0.5</v>
      </c>
      <c r="H24" s="6">
        <v>0.5</v>
      </c>
      <c r="I24" s="8">
        <v>0.5</v>
      </c>
      <c r="J24" s="9"/>
    </row>
    <row r="25" spans="1:10" x14ac:dyDescent="0.3">
      <c r="A25" s="3" t="s">
        <v>4</v>
      </c>
      <c r="B25" s="4">
        <v>1E-3</v>
      </c>
      <c r="C25" s="5">
        <v>1E-3</v>
      </c>
      <c r="D25" s="6">
        <v>0.01</v>
      </c>
      <c r="E25" s="7">
        <v>0.01</v>
      </c>
      <c r="F25" s="4">
        <v>1</v>
      </c>
      <c r="G25" s="5">
        <v>1</v>
      </c>
      <c r="H25" s="6">
        <v>10</v>
      </c>
      <c r="I25" s="8">
        <v>10</v>
      </c>
      <c r="J25" s="9"/>
    </row>
    <row r="26" spans="1:10" x14ac:dyDescent="0.3">
      <c r="A26" s="3" t="s">
        <v>5</v>
      </c>
      <c r="B26" s="4">
        <v>623</v>
      </c>
      <c r="C26" s="5">
        <v>723</v>
      </c>
      <c r="D26" s="6">
        <v>573</v>
      </c>
      <c r="E26" s="7">
        <v>773</v>
      </c>
      <c r="F26" s="4">
        <v>573</v>
      </c>
      <c r="G26" s="5">
        <v>773</v>
      </c>
      <c r="H26" s="6">
        <v>623</v>
      </c>
      <c r="I26" s="8">
        <v>723</v>
      </c>
      <c r="J26" s="9"/>
    </row>
    <row r="27" spans="1:10" x14ac:dyDescent="0.3">
      <c r="A27" s="3" t="s">
        <v>6</v>
      </c>
      <c r="B27" s="4">
        <f>'[1]Data summary'!D30</f>
        <v>156.6</v>
      </c>
      <c r="C27" s="5">
        <f>'[1]Data summary'!F30</f>
        <v>85.3</v>
      </c>
      <c r="D27" s="6">
        <f>'[1]Data summary'!C31</f>
        <v>212.5</v>
      </c>
      <c r="E27" s="7">
        <f>'[1]Data summary'!G31</f>
        <v>87.9</v>
      </c>
      <c r="F27" s="4">
        <f>'[1]Data summary'!C33</f>
        <v>230</v>
      </c>
      <c r="G27" s="5">
        <f>'[1]Data summary'!G33</f>
        <v>123.3</v>
      </c>
      <c r="H27" s="6">
        <f>'[1]Data summary'!D34</f>
        <v>216</v>
      </c>
      <c r="I27" s="8">
        <f>'[1]Data summary'!F34</f>
        <v>168.9</v>
      </c>
      <c r="J27" s="9"/>
    </row>
    <row r="28" spans="1:10" x14ac:dyDescent="0.3">
      <c r="A28" s="11"/>
      <c r="B28" s="11"/>
      <c r="C28" s="11"/>
      <c r="D28" s="11"/>
      <c r="E28" s="11"/>
      <c r="F28" s="11"/>
      <c r="G28" s="11"/>
      <c r="H28" s="11"/>
      <c r="I28" s="11"/>
    </row>
    <row r="29" spans="1:10" x14ac:dyDescent="0.3">
      <c r="A29" s="3" t="s">
        <v>3</v>
      </c>
      <c r="B29" s="4">
        <v>0.6</v>
      </c>
      <c r="C29" s="5">
        <v>0.6</v>
      </c>
      <c r="D29" s="6">
        <v>0.6</v>
      </c>
      <c r="E29" s="7">
        <v>0.6</v>
      </c>
      <c r="F29" s="4">
        <v>0.6</v>
      </c>
      <c r="G29" s="5">
        <v>0.6</v>
      </c>
      <c r="H29" s="6">
        <v>0.6</v>
      </c>
      <c r="I29" s="8">
        <v>0.6</v>
      </c>
      <c r="J29" s="9"/>
    </row>
    <row r="30" spans="1:10" x14ac:dyDescent="0.3">
      <c r="A30" s="3" t="s">
        <v>4</v>
      </c>
      <c r="B30" s="4">
        <v>1E-3</v>
      </c>
      <c r="C30" s="5">
        <v>1E-3</v>
      </c>
      <c r="D30" s="6">
        <v>0.01</v>
      </c>
      <c r="E30" s="7">
        <v>0.01</v>
      </c>
      <c r="F30" s="4">
        <v>1</v>
      </c>
      <c r="G30" s="5">
        <v>1</v>
      </c>
      <c r="H30" s="6">
        <v>10</v>
      </c>
      <c r="I30" s="8">
        <v>10</v>
      </c>
      <c r="J30" s="9"/>
    </row>
    <row r="31" spans="1:10" x14ac:dyDescent="0.3">
      <c r="A31" s="3" t="s">
        <v>5</v>
      </c>
      <c r="B31" s="4">
        <v>623</v>
      </c>
      <c r="C31" s="5">
        <v>723</v>
      </c>
      <c r="D31" s="6">
        <v>573</v>
      </c>
      <c r="E31" s="7">
        <v>773</v>
      </c>
      <c r="F31" s="4">
        <v>573</v>
      </c>
      <c r="G31" s="5">
        <v>773</v>
      </c>
      <c r="H31" s="6">
        <v>623</v>
      </c>
      <c r="I31" s="8">
        <v>723</v>
      </c>
      <c r="J31" s="9"/>
    </row>
    <row r="32" spans="1:10" x14ac:dyDescent="0.3">
      <c r="A32" s="3" t="s">
        <v>6</v>
      </c>
      <c r="B32" s="4">
        <f>'[1]Data summary'!D36</f>
        <v>152.19999999999999</v>
      </c>
      <c r="C32" s="5">
        <f>'[1]Data summary'!F36</f>
        <v>81.3</v>
      </c>
      <c r="D32" s="6">
        <f>'[1]Data summary'!C37</f>
        <v>214.2</v>
      </c>
      <c r="E32" s="7">
        <f>'[1]Data summary'!G37</f>
        <v>87.3</v>
      </c>
      <c r="F32" s="4">
        <f>'[1]Data summary'!C39</f>
        <v>230.4</v>
      </c>
      <c r="G32" s="5">
        <f>'[1]Data summary'!G39</f>
        <v>120.9</v>
      </c>
      <c r="H32" s="6">
        <f>'[1]Data summary'!D40</f>
        <v>217</v>
      </c>
      <c r="I32" s="8">
        <f>'[1]Data summary'!F40</f>
        <v>167.1</v>
      </c>
      <c r="J3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2026-06-25T12:44:47Z</dcterms:created>
  <dcterms:modified xsi:type="dcterms:W3CDTF">2026-06-25T12:46:45Z</dcterms:modified>
</cp:coreProperties>
</file>