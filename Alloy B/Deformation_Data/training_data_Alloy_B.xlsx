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13_ncr:1_{9A49A828-AE02-4804-AE24-415665A292ED}" xr6:coauthVersionLast="47" xr6:coauthVersionMax="47" xr10:uidLastSave="{00000000-0000-0000-0000-000000000000}"/>
  <bookViews>
    <workbookView xWindow="-108" yWindow="-108" windowWidth="23256" windowHeight="13896" xr2:uid="{842099EA-D189-47C5-81AE-3FEE6AF91630}"/>
  </bookViews>
  <sheets>
    <sheet name="Training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J7" i="1"/>
  <c r="K7" i="1"/>
  <c r="L7" i="1"/>
  <c r="M7" i="1"/>
  <c r="N7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</calcChain>
</file>

<file path=xl/sharedStrings.xml><?xml version="1.0" encoding="utf-8"?>
<sst xmlns="http://schemas.openxmlformats.org/spreadsheetml/2006/main" count="28" uniqueCount="8">
  <si>
    <t xml:space="preserve">Flow stress </t>
  </si>
  <si>
    <t xml:space="preserve">temperature </t>
  </si>
  <si>
    <t>strain rate</t>
  </si>
  <si>
    <t>Strain</t>
  </si>
  <si>
    <t xml:space="preserve">Sample ID: </t>
  </si>
  <si>
    <t>Data</t>
  </si>
  <si>
    <t xml:space="preserve">Training </t>
  </si>
  <si>
    <t>ALLOY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</si>
</sst>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5E2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2" borderId="3" xfId="0" applyFill="1" applyBorder="1"/>
    <xf numFmtId="0" fontId="0" fillId="6" borderId="3" xfId="0" applyFill="1" applyBorder="1"/>
    <xf numFmtId="0" fontId="0" fillId="7" borderId="0" xfId="0" applyFill="1"/>
    <xf numFmtId="0" fontId="0" fillId="0" borderId="1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%208\Minor%20Project\Deformation%20Data\data_summary_Alloy_B.xlsx" TargetMode="External"/><Relationship Id="rId1" Type="http://schemas.openxmlformats.org/officeDocument/2006/relationships/externalLinkPath" Target="data_summary_Alloy_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</sheetNames>
    <sheetDataSet>
      <sheetData sheetId="0">
        <row r="6">
          <cell r="C6">
            <v>191.1</v>
          </cell>
          <cell r="E6">
            <v>133</v>
          </cell>
          <cell r="G6">
            <v>75.400000000000006</v>
          </cell>
        </row>
        <row r="7">
          <cell r="D7">
            <v>177.7</v>
          </cell>
          <cell r="F7">
            <v>122.4</v>
          </cell>
        </row>
        <row r="8">
          <cell r="C8">
            <v>203.7</v>
          </cell>
          <cell r="E8">
            <v>173</v>
          </cell>
          <cell r="G8">
            <v>117.6</v>
          </cell>
        </row>
        <row r="9">
          <cell r="D9">
            <v>197.3</v>
          </cell>
          <cell r="F9">
            <v>161</v>
          </cell>
        </row>
        <row r="10">
          <cell r="C10">
            <v>199.1</v>
          </cell>
          <cell r="E10">
            <v>190</v>
          </cell>
          <cell r="G10">
            <v>151.80000000000001</v>
          </cell>
        </row>
        <row r="12">
          <cell r="C12">
            <v>205.9</v>
          </cell>
          <cell r="E12">
            <v>133.5</v>
          </cell>
          <cell r="G12">
            <v>73.3</v>
          </cell>
        </row>
        <row r="13">
          <cell r="D13">
            <v>190.1</v>
          </cell>
          <cell r="F13">
            <v>123</v>
          </cell>
        </row>
        <row r="14">
          <cell r="C14">
            <v>228.4</v>
          </cell>
          <cell r="E14">
            <v>183.1</v>
          </cell>
          <cell r="G14">
            <v>117.4</v>
          </cell>
        </row>
        <row r="15">
          <cell r="D15">
            <v>215</v>
          </cell>
          <cell r="F15">
            <v>164.5</v>
          </cell>
        </row>
        <row r="16">
          <cell r="C16">
            <v>220.5</v>
          </cell>
          <cell r="E16">
            <v>203</v>
          </cell>
          <cell r="G16">
            <v>159.19999999999999</v>
          </cell>
        </row>
        <row r="18">
          <cell r="C18">
            <v>209.6</v>
          </cell>
          <cell r="E18">
            <v>130.30000000000001</v>
          </cell>
          <cell r="G18">
            <v>70</v>
          </cell>
        </row>
        <row r="19">
          <cell r="D19">
            <v>192.4</v>
          </cell>
          <cell r="F19">
            <v>121.9</v>
          </cell>
        </row>
        <row r="20">
          <cell r="C20">
            <v>236.1</v>
          </cell>
          <cell r="E20">
            <v>183.1</v>
          </cell>
          <cell r="G20">
            <v>114.7</v>
          </cell>
        </row>
        <row r="21">
          <cell r="D21">
            <v>217.7</v>
          </cell>
          <cell r="F21">
            <v>159.19999999999999</v>
          </cell>
        </row>
        <row r="22">
          <cell r="C22">
            <v>226.2</v>
          </cell>
          <cell r="E22">
            <v>202.7</v>
          </cell>
          <cell r="G22">
            <v>158.1</v>
          </cell>
        </row>
        <row r="24">
          <cell r="C24">
            <v>210</v>
          </cell>
          <cell r="E24">
            <v>126.4</v>
          </cell>
          <cell r="G24">
            <v>66.7</v>
          </cell>
        </row>
        <row r="25">
          <cell r="D25">
            <v>193.8</v>
          </cell>
          <cell r="F25">
            <v>121.4</v>
          </cell>
        </row>
        <row r="26">
          <cell r="C26">
            <v>240.7</v>
          </cell>
          <cell r="E26">
            <v>181</v>
          </cell>
          <cell r="G26">
            <v>112</v>
          </cell>
        </row>
        <row r="27">
          <cell r="D27">
            <v>217.4</v>
          </cell>
          <cell r="F27">
            <v>154.30000000000001</v>
          </cell>
        </row>
        <row r="28">
          <cell r="C28">
            <v>229</v>
          </cell>
          <cell r="E28">
            <v>199.3</v>
          </cell>
          <cell r="G28">
            <v>154.9</v>
          </cell>
        </row>
        <row r="30">
          <cell r="C30">
            <v>207.3</v>
          </cell>
          <cell r="E30">
            <v>118.6</v>
          </cell>
          <cell r="G30">
            <v>61.7</v>
          </cell>
        </row>
        <row r="31">
          <cell r="D31">
            <v>191.4</v>
          </cell>
          <cell r="F31">
            <v>117</v>
          </cell>
        </row>
        <row r="32">
          <cell r="C32">
            <v>244.1</v>
          </cell>
          <cell r="E32">
            <v>180.3</v>
          </cell>
          <cell r="G32">
            <v>110.1</v>
          </cell>
        </row>
        <row r="33">
          <cell r="D33">
            <v>216.5</v>
          </cell>
          <cell r="F33">
            <v>150.5</v>
          </cell>
        </row>
        <row r="34">
          <cell r="C34">
            <v>230.9</v>
          </cell>
          <cell r="E34">
            <v>196</v>
          </cell>
          <cell r="G34">
            <v>151</v>
          </cell>
        </row>
        <row r="36">
          <cell r="C36">
            <v>205.7</v>
          </cell>
          <cell r="E36">
            <v>113.3</v>
          </cell>
          <cell r="G36">
            <v>58.5</v>
          </cell>
        </row>
        <row r="37">
          <cell r="D37">
            <v>191.8</v>
          </cell>
          <cell r="F37">
            <v>115.6</v>
          </cell>
        </row>
        <row r="38">
          <cell r="C38">
            <v>245.9</v>
          </cell>
          <cell r="E38">
            <v>179.2</v>
          </cell>
          <cell r="G38">
            <v>108.8</v>
          </cell>
        </row>
        <row r="39">
          <cell r="D39">
            <v>215.6</v>
          </cell>
          <cell r="F39">
            <v>148.30000000000001</v>
          </cell>
        </row>
        <row r="40">
          <cell r="C40">
            <v>232.3</v>
          </cell>
          <cell r="E40">
            <v>194.4</v>
          </cell>
          <cell r="G40">
            <v>146.80000000000001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F959-5E4F-4E6F-B75E-52B684CA797F}">
  <dimension ref="A1:U38"/>
  <sheetViews>
    <sheetView tabSelected="1" workbookViewId="0">
      <selection activeCell="B2" sqref="B2"/>
    </sheetView>
  </sheetViews>
  <sheetFormatPr defaultRowHeight="14.4" x14ac:dyDescent="0.3"/>
  <cols>
    <col min="1" max="1" width="14.5546875" customWidth="1"/>
  </cols>
  <sheetData>
    <row r="1" spans="1:21" x14ac:dyDescent="0.3">
      <c r="A1" s="12" t="s">
        <v>6</v>
      </c>
      <c r="B1" s="12" t="s">
        <v>5</v>
      </c>
    </row>
    <row r="2" spans="1:21" x14ac:dyDescent="0.3">
      <c r="A2" t="s">
        <v>4</v>
      </c>
      <c r="B2" s="11" t="s">
        <v>7</v>
      </c>
    </row>
    <row r="4" spans="1:21" x14ac:dyDescent="0.3">
      <c r="A4" s="8" t="s">
        <v>3</v>
      </c>
      <c r="B4" s="7">
        <v>0.1</v>
      </c>
      <c r="C4" s="6">
        <v>0.1</v>
      </c>
      <c r="D4" s="5">
        <v>0.1</v>
      </c>
      <c r="E4" s="4">
        <v>0.1</v>
      </c>
      <c r="F4" s="7">
        <v>0.1</v>
      </c>
      <c r="G4" s="6">
        <v>0.1</v>
      </c>
      <c r="H4" s="5">
        <v>0.1</v>
      </c>
      <c r="I4" s="4">
        <v>0.1</v>
      </c>
      <c r="J4" s="7">
        <v>0.1</v>
      </c>
      <c r="K4" s="6">
        <v>0.1</v>
      </c>
      <c r="L4" s="5">
        <v>0.1</v>
      </c>
      <c r="M4" s="4">
        <v>0.1</v>
      </c>
      <c r="N4" s="3">
        <v>0.1</v>
      </c>
      <c r="O4" s="2"/>
      <c r="P4" s="1"/>
      <c r="Q4" s="1"/>
      <c r="R4" s="1"/>
      <c r="S4" s="1"/>
      <c r="T4" s="1"/>
      <c r="U4" s="1"/>
    </row>
    <row r="5" spans="1:21" x14ac:dyDescent="0.3">
      <c r="A5" s="8" t="s">
        <v>2</v>
      </c>
      <c r="B5" s="7">
        <v>1E-3</v>
      </c>
      <c r="C5" s="6">
        <v>1E-3</v>
      </c>
      <c r="D5" s="5">
        <v>1E-3</v>
      </c>
      <c r="E5" s="4">
        <v>0.01</v>
      </c>
      <c r="F5" s="7">
        <v>0.01</v>
      </c>
      <c r="G5" s="6">
        <v>0.1</v>
      </c>
      <c r="H5" s="5">
        <v>0.1</v>
      </c>
      <c r="I5" s="4">
        <v>0.1</v>
      </c>
      <c r="J5" s="7">
        <v>1</v>
      </c>
      <c r="K5" s="6">
        <v>1</v>
      </c>
      <c r="L5" s="5">
        <v>10</v>
      </c>
      <c r="M5" s="4">
        <v>10</v>
      </c>
      <c r="N5" s="3">
        <v>10</v>
      </c>
      <c r="O5" s="2"/>
      <c r="P5" s="1"/>
      <c r="Q5" s="1"/>
      <c r="R5" s="1"/>
      <c r="S5" s="1"/>
      <c r="T5" s="1"/>
      <c r="U5" s="1"/>
    </row>
    <row r="6" spans="1:21" x14ac:dyDescent="0.3">
      <c r="A6" s="8" t="s">
        <v>1</v>
      </c>
      <c r="B6" s="7">
        <v>573</v>
      </c>
      <c r="C6" s="6">
        <v>673</v>
      </c>
      <c r="D6" s="5">
        <v>773</v>
      </c>
      <c r="E6" s="4">
        <v>623</v>
      </c>
      <c r="F6" s="7">
        <v>723</v>
      </c>
      <c r="G6" s="6">
        <v>573</v>
      </c>
      <c r="H6" s="5">
        <v>673</v>
      </c>
      <c r="I6" s="4">
        <v>773</v>
      </c>
      <c r="J6" s="7">
        <v>623</v>
      </c>
      <c r="K6" s="6">
        <v>723</v>
      </c>
      <c r="L6" s="5">
        <v>573</v>
      </c>
      <c r="M6" s="4">
        <v>673</v>
      </c>
      <c r="N6" s="3">
        <v>773</v>
      </c>
      <c r="O6" s="2"/>
      <c r="P6" s="1"/>
      <c r="Q6" s="1"/>
      <c r="R6" s="1"/>
      <c r="S6" s="1"/>
      <c r="T6" s="1"/>
      <c r="U6" s="1"/>
    </row>
    <row r="7" spans="1:21" x14ac:dyDescent="0.3">
      <c r="A7" s="8" t="s">
        <v>0</v>
      </c>
      <c r="B7" s="7">
        <f xml:space="preserve"> '[1]Data summary'!C6</f>
        <v>191.1</v>
      </c>
      <c r="C7" s="6">
        <f>'[1]Data summary'!E6</f>
        <v>133</v>
      </c>
      <c r="D7" s="5">
        <f>'[1]Data summary'!G6</f>
        <v>75.400000000000006</v>
      </c>
      <c r="E7" s="4">
        <f>'[1]Data summary'!D7</f>
        <v>177.7</v>
      </c>
      <c r="F7" s="7">
        <f>'[1]Data summary'!F7</f>
        <v>122.4</v>
      </c>
      <c r="G7" s="6">
        <f>'[1]Data summary'!C8</f>
        <v>203.7</v>
      </c>
      <c r="H7" s="5">
        <f>'[1]Data summary'!E8</f>
        <v>173</v>
      </c>
      <c r="I7" s="4">
        <f>'[1]Data summary'!G8</f>
        <v>117.6</v>
      </c>
      <c r="J7" s="7">
        <f>'[1]Data summary'!D9</f>
        <v>197.3</v>
      </c>
      <c r="K7" s="6">
        <f>'[1]Data summary'!F9</f>
        <v>161</v>
      </c>
      <c r="L7" s="5">
        <f>'[1]Data summary'!C10</f>
        <v>199.1</v>
      </c>
      <c r="M7" s="4">
        <f>'[1]Data summary'!E10</f>
        <v>190</v>
      </c>
      <c r="N7" s="3">
        <f>'[1]Data summary'!G10</f>
        <v>151.80000000000001</v>
      </c>
      <c r="O7" s="2"/>
      <c r="P7" s="1"/>
      <c r="Q7" s="1"/>
      <c r="R7" s="1"/>
      <c r="S7" s="1"/>
      <c r="T7" s="1"/>
      <c r="U7" s="1"/>
    </row>
    <row r="8" spans="1:2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"/>
      <c r="P8" s="1"/>
      <c r="Q8" s="1"/>
      <c r="R8" s="1"/>
      <c r="S8" s="1"/>
      <c r="T8" s="1"/>
      <c r="U8" s="1"/>
    </row>
    <row r="9" spans="1:21" x14ac:dyDescent="0.3">
      <c r="A9" s="8" t="s">
        <v>3</v>
      </c>
      <c r="B9" s="7">
        <v>0.2</v>
      </c>
      <c r="C9" s="6">
        <v>0.2</v>
      </c>
      <c r="D9" s="5">
        <v>0.2</v>
      </c>
      <c r="E9" s="4">
        <v>0.2</v>
      </c>
      <c r="F9" s="7">
        <v>0.2</v>
      </c>
      <c r="G9" s="6">
        <v>0.2</v>
      </c>
      <c r="H9" s="5">
        <v>0.2</v>
      </c>
      <c r="I9" s="4">
        <v>0.2</v>
      </c>
      <c r="J9" s="7">
        <v>0.2</v>
      </c>
      <c r="K9" s="6">
        <v>0.2</v>
      </c>
      <c r="L9" s="5">
        <v>0.2</v>
      </c>
      <c r="M9" s="4">
        <v>0.2</v>
      </c>
      <c r="N9" s="3">
        <v>0.2</v>
      </c>
      <c r="O9" s="10"/>
    </row>
    <row r="10" spans="1:21" x14ac:dyDescent="0.3">
      <c r="A10" s="8" t="s">
        <v>2</v>
      </c>
      <c r="B10" s="7">
        <v>1E-3</v>
      </c>
      <c r="C10" s="6">
        <v>1E-3</v>
      </c>
      <c r="D10" s="5">
        <v>1E-3</v>
      </c>
      <c r="E10" s="4">
        <v>0.01</v>
      </c>
      <c r="F10" s="7">
        <v>0.01</v>
      </c>
      <c r="G10" s="6">
        <v>0.1</v>
      </c>
      <c r="H10" s="5">
        <v>0.1</v>
      </c>
      <c r="I10" s="4">
        <v>0.1</v>
      </c>
      <c r="J10" s="7">
        <v>1</v>
      </c>
      <c r="K10" s="6">
        <v>1</v>
      </c>
      <c r="L10" s="5">
        <v>10</v>
      </c>
      <c r="M10" s="4">
        <v>10</v>
      </c>
      <c r="N10" s="3">
        <v>10</v>
      </c>
      <c r="O10" s="2"/>
    </row>
    <row r="11" spans="1:21" x14ac:dyDescent="0.3">
      <c r="A11" s="8" t="s">
        <v>1</v>
      </c>
      <c r="B11" s="7">
        <v>573</v>
      </c>
      <c r="C11" s="6">
        <v>673</v>
      </c>
      <c r="D11" s="5">
        <v>773</v>
      </c>
      <c r="E11" s="4">
        <v>623</v>
      </c>
      <c r="F11" s="7">
        <v>723</v>
      </c>
      <c r="G11" s="6">
        <v>573</v>
      </c>
      <c r="H11" s="5">
        <v>673</v>
      </c>
      <c r="I11" s="4">
        <v>773</v>
      </c>
      <c r="J11" s="7">
        <v>623</v>
      </c>
      <c r="K11" s="6">
        <v>723</v>
      </c>
      <c r="L11" s="5">
        <v>573</v>
      </c>
      <c r="M11" s="4">
        <v>673</v>
      </c>
      <c r="N11" s="3">
        <v>773</v>
      </c>
      <c r="O11" s="2"/>
    </row>
    <row r="12" spans="1:21" x14ac:dyDescent="0.3">
      <c r="A12" s="8" t="s">
        <v>0</v>
      </c>
      <c r="B12" s="7">
        <f xml:space="preserve"> '[1]Data summary'!C12</f>
        <v>205.9</v>
      </c>
      <c r="C12" s="6">
        <f>'[1]Data summary'!E12</f>
        <v>133.5</v>
      </c>
      <c r="D12" s="5">
        <f>'[1]Data summary'!G12</f>
        <v>73.3</v>
      </c>
      <c r="E12" s="4">
        <f>'[1]Data summary'!D13</f>
        <v>190.1</v>
      </c>
      <c r="F12" s="7">
        <f>'[1]Data summary'!F13</f>
        <v>123</v>
      </c>
      <c r="G12" s="6">
        <f>'[1]Data summary'!C14</f>
        <v>228.4</v>
      </c>
      <c r="H12" s="5">
        <f>'[1]Data summary'!E14</f>
        <v>183.1</v>
      </c>
      <c r="I12" s="4">
        <f>'[1]Data summary'!G14</f>
        <v>117.4</v>
      </c>
      <c r="J12" s="7">
        <f>'[1]Data summary'!D15</f>
        <v>215</v>
      </c>
      <c r="K12" s="6">
        <f>'[1]Data summary'!F15</f>
        <v>164.5</v>
      </c>
      <c r="L12" s="5">
        <f>'[1]Data summary'!C16</f>
        <v>220.5</v>
      </c>
      <c r="M12" s="4">
        <f>'[1]Data summary'!E16</f>
        <v>203</v>
      </c>
      <c r="N12" s="3">
        <f>'[1]Data summary'!G16</f>
        <v>159.19999999999999</v>
      </c>
      <c r="O12" s="2"/>
    </row>
    <row r="13" spans="1:2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"/>
    </row>
    <row r="14" spans="1:21" x14ac:dyDescent="0.3">
      <c r="A14" s="8" t="s">
        <v>3</v>
      </c>
      <c r="B14" s="7">
        <v>0.3</v>
      </c>
      <c r="C14" s="6">
        <v>0.3</v>
      </c>
      <c r="D14" s="5">
        <v>0.3</v>
      </c>
      <c r="E14" s="4">
        <v>0.3</v>
      </c>
      <c r="F14" s="7">
        <v>0.3</v>
      </c>
      <c r="G14" s="6">
        <v>0.3</v>
      </c>
      <c r="H14" s="5">
        <v>0.3</v>
      </c>
      <c r="I14" s="4">
        <v>0.3</v>
      </c>
      <c r="J14" s="7">
        <v>0.3</v>
      </c>
      <c r="K14" s="6">
        <v>0.3</v>
      </c>
      <c r="L14" s="5">
        <v>0.3</v>
      </c>
      <c r="M14" s="4">
        <v>0.3</v>
      </c>
      <c r="N14" s="3">
        <v>0.3</v>
      </c>
      <c r="O14" s="2"/>
      <c r="P14" s="1"/>
      <c r="Q14" s="1"/>
      <c r="R14" s="1"/>
      <c r="S14" s="1"/>
      <c r="T14" s="1"/>
      <c r="U14" s="1"/>
    </row>
    <row r="15" spans="1:21" x14ac:dyDescent="0.3">
      <c r="A15" s="8" t="s">
        <v>2</v>
      </c>
      <c r="B15" s="7">
        <v>1E-3</v>
      </c>
      <c r="C15" s="6">
        <v>1E-3</v>
      </c>
      <c r="D15" s="5">
        <v>1E-3</v>
      </c>
      <c r="E15" s="4">
        <v>0.01</v>
      </c>
      <c r="F15" s="7">
        <v>0.01</v>
      </c>
      <c r="G15" s="6">
        <v>0.1</v>
      </c>
      <c r="H15" s="5">
        <v>0.1</v>
      </c>
      <c r="I15" s="4">
        <v>0.1</v>
      </c>
      <c r="J15" s="7">
        <v>1</v>
      </c>
      <c r="K15" s="6">
        <v>1</v>
      </c>
      <c r="L15" s="5">
        <v>10</v>
      </c>
      <c r="M15" s="4">
        <v>10</v>
      </c>
      <c r="N15" s="3">
        <v>10</v>
      </c>
      <c r="O15" s="2"/>
      <c r="P15" s="1"/>
      <c r="Q15" s="1"/>
      <c r="R15" s="1"/>
      <c r="S15" s="1"/>
      <c r="T15" s="1"/>
      <c r="U15" s="1"/>
    </row>
    <row r="16" spans="1:21" x14ac:dyDescent="0.3">
      <c r="A16" s="8" t="s">
        <v>1</v>
      </c>
      <c r="B16" s="7">
        <v>573</v>
      </c>
      <c r="C16" s="6">
        <v>673</v>
      </c>
      <c r="D16" s="5">
        <v>773</v>
      </c>
      <c r="E16" s="4">
        <v>623</v>
      </c>
      <c r="F16" s="7">
        <v>723</v>
      </c>
      <c r="G16" s="6">
        <v>573</v>
      </c>
      <c r="H16" s="5">
        <v>673</v>
      </c>
      <c r="I16" s="4">
        <v>773</v>
      </c>
      <c r="J16" s="7">
        <v>623</v>
      </c>
      <c r="K16" s="6">
        <v>723</v>
      </c>
      <c r="L16" s="5">
        <v>573</v>
      </c>
      <c r="M16" s="4">
        <v>673</v>
      </c>
      <c r="N16" s="3">
        <v>773</v>
      </c>
      <c r="O16" s="2"/>
      <c r="P16" s="1"/>
      <c r="Q16" s="1"/>
      <c r="R16" s="1"/>
      <c r="S16" s="1"/>
      <c r="T16" s="1"/>
      <c r="U16" s="1"/>
    </row>
    <row r="17" spans="1:21" x14ac:dyDescent="0.3">
      <c r="A17" s="8" t="s">
        <v>0</v>
      </c>
      <c r="B17" s="7">
        <f xml:space="preserve"> '[1]Data summary'!C18</f>
        <v>209.6</v>
      </c>
      <c r="C17" s="6">
        <f>'[1]Data summary'!E18</f>
        <v>130.30000000000001</v>
      </c>
      <c r="D17" s="5">
        <f>'[1]Data summary'!G18</f>
        <v>70</v>
      </c>
      <c r="E17" s="4">
        <f>'[1]Data summary'!D19</f>
        <v>192.4</v>
      </c>
      <c r="F17" s="7">
        <f>'[1]Data summary'!F19</f>
        <v>121.9</v>
      </c>
      <c r="G17" s="6">
        <f>'[1]Data summary'!C20</f>
        <v>236.1</v>
      </c>
      <c r="H17" s="5">
        <f>'[1]Data summary'!E20</f>
        <v>183.1</v>
      </c>
      <c r="I17" s="4">
        <f>'[1]Data summary'!G20</f>
        <v>114.7</v>
      </c>
      <c r="J17" s="7">
        <f>'[1]Data summary'!D21</f>
        <v>217.7</v>
      </c>
      <c r="K17" s="6">
        <f>'[1]Data summary'!F21</f>
        <v>159.19999999999999</v>
      </c>
      <c r="L17" s="5">
        <f>'[1]Data summary'!C22</f>
        <v>226.2</v>
      </c>
      <c r="M17" s="4">
        <f>'[1]Data summary'!E22</f>
        <v>202.7</v>
      </c>
      <c r="N17" s="3">
        <f>'[1]Data summary'!G22</f>
        <v>158.1</v>
      </c>
      <c r="O17" s="2"/>
      <c r="P17" s="1"/>
      <c r="Q17" s="1"/>
      <c r="R17" s="1"/>
      <c r="S17" s="1"/>
      <c r="T17" s="1"/>
      <c r="U17" s="1"/>
    </row>
    <row r="18" spans="1:2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"/>
      <c r="P18" s="1"/>
      <c r="Q18" s="1"/>
      <c r="R18" s="1"/>
      <c r="S18" s="1"/>
      <c r="T18" s="1"/>
      <c r="U18" s="1"/>
    </row>
    <row r="19" spans="1:21" x14ac:dyDescent="0.3">
      <c r="A19" s="8" t="s">
        <v>3</v>
      </c>
      <c r="B19" s="7">
        <v>0.4</v>
      </c>
      <c r="C19" s="6">
        <v>0.4</v>
      </c>
      <c r="D19" s="5">
        <v>0.4</v>
      </c>
      <c r="E19" s="4">
        <v>0.4</v>
      </c>
      <c r="F19" s="7">
        <v>0.4</v>
      </c>
      <c r="G19" s="6">
        <v>0.4</v>
      </c>
      <c r="H19" s="5">
        <v>0.4</v>
      </c>
      <c r="I19" s="4">
        <v>0.4</v>
      </c>
      <c r="J19" s="7">
        <v>0.4</v>
      </c>
      <c r="K19" s="6">
        <v>0.4</v>
      </c>
      <c r="L19" s="5">
        <v>0.4</v>
      </c>
      <c r="M19" s="4">
        <v>0.4</v>
      </c>
      <c r="N19" s="3">
        <v>0.4</v>
      </c>
      <c r="O19" s="2"/>
      <c r="P19" s="1"/>
      <c r="Q19" s="1"/>
      <c r="R19" s="1"/>
      <c r="S19" s="1"/>
      <c r="T19" s="1"/>
      <c r="U19" s="1"/>
    </row>
    <row r="20" spans="1:21" x14ac:dyDescent="0.3">
      <c r="A20" s="8" t="s">
        <v>2</v>
      </c>
      <c r="B20" s="7">
        <v>1E-3</v>
      </c>
      <c r="C20" s="6">
        <v>1E-3</v>
      </c>
      <c r="D20" s="5">
        <v>1E-3</v>
      </c>
      <c r="E20" s="4">
        <v>0.01</v>
      </c>
      <c r="F20" s="7">
        <v>0.01</v>
      </c>
      <c r="G20" s="6">
        <v>0.1</v>
      </c>
      <c r="H20" s="5">
        <v>0.1</v>
      </c>
      <c r="I20" s="4">
        <v>0.1</v>
      </c>
      <c r="J20" s="7">
        <v>1</v>
      </c>
      <c r="K20" s="6">
        <v>1</v>
      </c>
      <c r="L20" s="5">
        <v>10</v>
      </c>
      <c r="M20" s="4">
        <v>10</v>
      </c>
      <c r="N20" s="3">
        <v>10</v>
      </c>
      <c r="O20" s="2"/>
      <c r="P20" s="1"/>
      <c r="Q20" s="1"/>
      <c r="R20" s="1"/>
      <c r="S20" s="1"/>
      <c r="T20" s="1"/>
      <c r="U20" s="1"/>
    </row>
    <row r="21" spans="1:21" x14ac:dyDescent="0.3">
      <c r="A21" s="8" t="s">
        <v>1</v>
      </c>
      <c r="B21" s="7">
        <v>573</v>
      </c>
      <c r="C21" s="6">
        <v>673</v>
      </c>
      <c r="D21" s="5">
        <v>773</v>
      </c>
      <c r="E21" s="4">
        <v>623</v>
      </c>
      <c r="F21" s="7">
        <v>723</v>
      </c>
      <c r="G21" s="6">
        <v>573</v>
      </c>
      <c r="H21" s="5">
        <v>673</v>
      </c>
      <c r="I21" s="4">
        <v>773</v>
      </c>
      <c r="J21" s="7">
        <v>623</v>
      </c>
      <c r="K21" s="6">
        <v>723</v>
      </c>
      <c r="L21" s="5">
        <v>573</v>
      </c>
      <c r="M21" s="4">
        <v>673</v>
      </c>
      <c r="N21" s="3">
        <v>773</v>
      </c>
      <c r="O21" s="2"/>
      <c r="P21" s="1"/>
      <c r="Q21" s="1"/>
      <c r="R21" s="1"/>
      <c r="S21" s="1"/>
      <c r="T21" s="1"/>
      <c r="U21" s="1"/>
    </row>
    <row r="22" spans="1:21" x14ac:dyDescent="0.3">
      <c r="A22" s="8" t="s">
        <v>0</v>
      </c>
      <c r="B22" s="7">
        <f xml:space="preserve"> '[1]Data summary'!C24</f>
        <v>210</v>
      </c>
      <c r="C22" s="6">
        <f>'[1]Data summary'!E24</f>
        <v>126.4</v>
      </c>
      <c r="D22" s="5">
        <f>'[1]Data summary'!G24</f>
        <v>66.7</v>
      </c>
      <c r="E22" s="4">
        <f>'[1]Data summary'!D25</f>
        <v>193.8</v>
      </c>
      <c r="F22" s="7">
        <f>'[1]Data summary'!F25</f>
        <v>121.4</v>
      </c>
      <c r="G22" s="6">
        <f>'[1]Data summary'!C26</f>
        <v>240.7</v>
      </c>
      <c r="H22" s="5">
        <f>'[1]Data summary'!E26</f>
        <v>181</v>
      </c>
      <c r="I22" s="4">
        <f>'[1]Data summary'!G26</f>
        <v>112</v>
      </c>
      <c r="J22" s="7">
        <f>'[1]Data summary'!D27</f>
        <v>217.4</v>
      </c>
      <c r="K22" s="6">
        <f>'[1]Data summary'!F27</f>
        <v>154.30000000000001</v>
      </c>
      <c r="L22" s="5">
        <f>'[1]Data summary'!C28</f>
        <v>229</v>
      </c>
      <c r="M22" s="4">
        <f>'[1]Data summary'!E28</f>
        <v>199.3</v>
      </c>
      <c r="N22" s="3">
        <f>'[1]Data summary'!G28</f>
        <v>154.9</v>
      </c>
      <c r="O22" s="2"/>
      <c r="P22" s="1"/>
      <c r="Q22" s="1"/>
      <c r="R22" s="1"/>
      <c r="S22" s="1"/>
      <c r="T22" s="1"/>
      <c r="U22" s="1"/>
    </row>
    <row r="23" spans="1:2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"/>
      <c r="P23" s="1"/>
      <c r="Q23" s="1"/>
      <c r="R23" s="1"/>
      <c r="S23" s="1"/>
      <c r="T23" s="1"/>
      <c r="U23" s="1"/>
    </row>
    <row r="24" spans="1:21" x14ac:dyDescent="0.3">
      <c r="A24" s="8" t="s">
        <v>3</v>
      </c>
      <c r="B24" s="7">
        <v>0.5</v>
      </c>
      <c r="C24" s="6">
        <v>0.5</v>
      </c>
      <c r="D24" s="5">
        <v>0.5</v>
      </c>
      <c r="E24" s="4">
        <v>0.5</v>
      </c>
      <c r="F24" s="7">
        <v>0.5</v>
      </c>
      <c r="G24" s="6">
        <v>0.5</v>
      </c>
      <c r="H24" s="5">
        <v>0.5</v>
      </c>
      <c r="I24" s="4">
        <v>0.5</v>
      </c>
      <c r="J24" s="7">
        <v>0.5</v>
      </c>
      <c r="K24" s="6">
        <v>0.5</v>
      </c>
      <c r="L24" s="5">
        <v>0.5</v>
      </c>
      <c r="M24" s="4">
        <v>0.5</v>
      </c>
      <c r="N24" s="3">
        <v>0.5</v>
      </c>
      <c r="O24" s="2"/>
      <c r="P24" s="1"/>
      <c r="Q24" s="1"/>
      <c r="R24" s="1"/>
      <c r="S24" s="1"/>
      <c r="T24" s="1"/>
      <c r="U24" s="1"/>
    </row>
    <row r="25" spans="1:21" x14ac:dyDescent="0.3">
      <c r="A25" s="8" t="s">
        <v>2</v>
      </c>
      <c r="B25" s="7">
        <v>1E-3</v>
      </c>
      <c r="C25" s="6">
        <v>1E-3</v>
      </c>
      <c r="D25" s="5">
        <v>1E-3</v>
      </c>
      <c r="E25" s="4">
        <v>0.01</v>
      </c>
      <c r="F25" s="7">
        <v>0.01</v>
      </c>
      <c r="G25" s="6">
        <v>0.1</v>
      </c>
      <c r="H25" s="5">
        <v>0.1</v>
      </c>
      <c r="I25" s="4">
        <v>0.1</v>
      </c>
      <c r="J25" s="7">
        <v>1</v>
      </c>
      <c r="K25" s="6">
        <v>1</v>
      </c>
      <c r="L25" s="5">
        <v>10</v>
      </c>
      <c r="M25" s="4">
        <v>10</v>
      </c>
      <c r="N25" s="3">
        <v>10</v>
      </c>
      <c r="O25" s="2"/>
      <c r="P25" s="1"/>
      <c r="Q25" s="1"/>
      <c r="R25" s="1"/>
      <c r="S25" s="1"/>
      <c r="T25" s="1"/>
      <c r="U25" s="1"/>
    </row>
    <row r="26" spans="1:21" x14ac:dyDescent="0.3">
      <c r="A26" s="8" t="s">
        <v>1</v>
      </c>
      <c r="B26" s="7">
        <v>573</v>
      </c>
      <c r="C26" s="6">
        <v>673</v>
      </c>
      <c r="D26" s="5">
        <v>773</v>
      </c>
      <c r="E26" s="4">
        <v>623</v>
      </c>
      <c r="F26" s="7">
        <v>723</v>
      </c>
      <c r="G26" s="6">
        <v>573</v>
      </c>
      <c r="H26" s="5">
        <v>673</v>
      </c>
      <c r="I26" s="4">
        <v>773</v>
      </c>
      <c r="J26" s="7">
        <v>623</v>
      </c>
      <c r="K26" s="6">
        <v>723</v>
      </c>
      <c r="L26" s="5">
        <v>573</v>
      </c>
      <c r="M26" s="4">
        <v>673</v>
      </c>
      <c r="N26" s="3">
        <v>773</v>
      </c>
      <c r="O26" s="2"/>
      <c r="P26" s="1"/>
      <c r="Q26" s="1"/>
      <c r="R26" s="1"/>
      <c r="S26" s="1"/>
      <c r="T26" s="1"/>
      <c r="U26" s="1"/>
    </row>
    <row r="27" spans="1:21" x14ac:dyDescent="0.3">
      <c r="A27" s="8" t="s">
        <v>0</v>
      </c>
      <c r="B27" s="7">
        <f xml:space="preserve"> '[1]Data summary'!C30</f>
        <v>207.3</v>
      </c>
      <c r="C27" s="6">
        <f>'[1]Data summary'!E30</f>
        <v>118.6</v>
      </c>
      <c r="D27" s="5">
        <f>'[1]Data summary'!G30</f>
        <v>61.7</v>
      </c>
      <c r="E27" s="4">
        <f>'[1]Data summary'!D31</f>
        <v>191.4</v>
      </c>
      <c r="F27" s="7">
        <f>'[1]Data summary'!F31</f>
        <v>117</v>
      </c>
      <c r="G27" s="6">
        <f>'[1]Data summary'!C32</f>
        <v>244.1</v>
      </c>
      <c r="H27" s="5">
        <f>'[1]Data summary'!E32</f>
        <v>180.3</v>
      </c>
      <c r="I27" s="4">
        <f>'[1]Data summary'!G32</f>
        <v>110.1</v>
      </c>
      <c r="J27" s="7">
        <f>'[1]Data summary'!D33</f>
        <v>216.5</v>
      </c>
      <c r="K27" s="6">
        <f>'[1]Data summary'!F33</f>
        <v>150.5</v>
      </c>
      <c r="L27" s="5">
        <f>'[1]Data summary'!C34</f>
        <v>230.9</v>
      </c>
      <c r="M27" s="4">
        <f>'[1]Data summary'!E34</f>
        <v>196</v>
      </c>
      <c r="N27" s="3">
        <f>'[1]Data summary'!G34</f>
        <v>151</v>
      </c>
      <c r="O27" s="2"/>
      <c r="P27" s="1"/>
      <c r="Q27" s="1"/>
      <c r="R27" s="1"/>
      <c r="S27" s="1"/>
      <c r="T27" s="1"/>
      <c r="U27" s="1"/>
    </row>
    <row r="28" spans="1:2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"/>
      <c r="P28" s="1"/>
      <c r="Q28" s="1"/>
      <c r="R28" s="1"/>
      <c r="S28" s="1"/>
      <c r="T28" s="1"/>
      <c r="U28" s="1"/>
    </row>
    <row r="29" spans="1:21" x14ac:dyDescent="0.3">
      <c r="A29" s="8" t="s">
        <v>3</v>
      </c>
      <c r="B29" s="7">
        <v>0.6</v>
      </c>
      <c r="C29" s="6">
        <v>0.6</v>
      </c>
      <c r="D29" s="5">
        <v>0.6</v>
      </c>
      <c r="E29" s="4">
        <v>0.6</v>
      </c>
      <c r="F29" s="7">
        <v>0.6</v>
      </c>
      <c r="G29" s="6">
        <v>0.6</v>
      </c>
      <c r="H29" s="5">
        <v>0.6</v>
      </c>
      <c r="I29" s="4">
        <v>0.6</v>
      </c>
      <c r="J29" s="7">
        <v>0.6</v>
      </c>
      <c r="K29" s="6">
        <v>0.6</v>
      </c>
      <c r="L29" s="5">
        <v>0.6</v>
      </c>
      <c r="M29" s="4">
        <v>0.6</v>
      </c>
      <c r="N29" s="3">
        <v>0.6</v>
      </c>
      <c r="O29" s="2"/>
      <c r="P29" s="1"/>
      <c r="Q29" s="1"/>
      <c r="R29" s="1"/>
      <c r="S29" s="1"/>
      <c r="T29" s="1"/>
      <c r="U29" s="1"/>
    </row>
    <row r="30" spans="1:21" x14ac:dyDescent="0.3">
      <c r="A30" s="8" t="s">
        <v>2</v>
      </c>
      <c r="B30" s="7">
        <v>1E-3</v>
      </c>
      <c r="C30" s="6">
        <v>1E-3</v>
      </c>
      <c r="D30" s="5">
        <v>1E-3</v>
      </c>
      <c r="E30" s="4">
        <v>0.01</v>
      </c>
      <c r="F30" s="7">
        <v>0.01</v>
      </c>
      <c r="G30" s="6">
        <v>0.1</v>
      </c>
      <c r="H30" s="5">
        <v>0.1</v>
      </c>
      <c r="I30" s="4">
        <v>0.1</v>
      </c>
      <c r="J30" s="7">
        <v>1</v>
      </c>
      <c r="K30" s="6">
        <v>1</v>
      </c>
      <c r="L30" s="5">
        <v>10</v>
      </c>
      <c r="M30" s="4">
        <v>10</v>
      </c>
      <c r="N30" s="3">
        <v>10</v>
      </c>
      <c r="O30" s="2"/>
      <c r="P30" s="1"/>
      <c r="Q30" s="1"/>
      <c r="R30" s="1"/>
      <c r="S30" s="1"/>
      <c r="T30" s="1"/>
      <c r="U30" s="1"/>
    </row>
    <row r="31" spans="1:21" x14ac:dyDescent="0.3">
      <c r="A31" s="8" t="s">
        <v>1</v>
      </c>
      <c r="B31" s="7">
        <v>573</v>
      </c>
      <c r="C31" s="6">
        <v>673</v>
      </c>
      <c r="D31" s="5">
        <v>773</v>
      </c>
      <c r="E31" s="4">
        <v>623</v>
      </c>
      <c r="F31" s="7">
        <v>723</v>
      </c>
      <c r="G31" s="6">
        <v>573</v>
      </c>
      <c r="H31" s="5">
        <v>673</v>
      </c>
      <c r="I31" s="4">
        <v>773</v>
      </c>
      <c r="J31" s="7">
        <v>623</v>
      </c>
      <c r="K31" s="6">
        <v>723</v>
      </c>
      <c r="L31" s="5">
        <v>573</v>
      </c>
      <c r="M31" s="4">
        <v>673</v>
      </c>
      <c r="N31" s="3">
        <v>773</v>
      </c>
      <c r="O31" s="2"/>
      <c r="P31" s="1"/>
      <c r="Q31" s="1"/>
      <c r="R31" s="1"/>
      <c r="S31" s="1"/>
      <c r="T31" s="1"/>
      <c r="U31" s="1"/>
    </row>
    <row r="32" spans="1:21" x14ac:dyDescent="0.3">
      <c r="A32" s="8" t="s">
        <v>0</v>
      </c>
      <c r="B32" s="7">
        <f xml:space="preserve"> '[1]Data summary'!C36</f>
        <v>205.7</v>
      </c>
      <c r="C32" s="6">
        <f>'[1]Data summary'!E36</f>
        <v>113.3</v>
      </c>
      <c r="D32" s="5">
        <f>'[1]Data summary'!G36</f>
        <v>58.5</v>
      </c>
      <c r="E32" s="4">
        <f>'[1]Data summary'!D37</f>
        <v>191.8</v>
      </c>
      <c r="F32" s="7">
        <f>'[1]Data summary'!F37</f>
        <v>115.6</v>
      </c>
      <c r="G32" s="6">
        <f>'[1]Data summary'!C38</f>
        <v>245.9</v>
      </c>
      <c r="H32" s="5">
        <f>'[1]Data summary'!E38</f>
        <v>179.2</v>
      </c>
      <c r="I32" s="4">
        <f>'[1]Data summary'!G38</f>
        <v>108.8</v>
      </c>
      <c r="J32" s="7">
        <f>'[1]Data summary'!D39</f>
        <v>215.6</v>
      </c>
      <c r="K32" s="6">
        <f>'[1]Data summary'!F39</f>
        <v>148.30000000000001</v>
      </c>
      <c r="L32" s="5">
        <f>'[1]Data summary'!C40</f>
        <v>232.3</v>
      </c>
      <c r="M32" s="4">
        <f>'[1]Data summary'!E40</f>
        <v>194.4</v>
      </c>
      <c r="N32" s="3">
        <f>'[1]Data summary'!G40</f>
        <v>146.80000000000001</v>
      </c>
      <c r="O32" s="2"/>
      <c r="P32" s="1"/>
      <c r="Q32" s="1"/>
      <c r="R32" s="1"/>
      <c r="S32" s="1"/>
      <c r="T32" s="1"/>
      <c r="U32" s="1"/>
    </row>
    <row r="33" spans="15:21" x14ac:dyDescent="0.3">
      <c r="O33" s="1"/>
      <c r="P33" s="1"/>
      <c r="Q33" s="1"/>
      <c r="R33" s="1"/>
      <c r="S33" s="1"/>
      <c r="T33" s="1"/>
      <c r="U33" s="1"/>
    </row>
    <row r="34" spans="15:21" x14ac:dyDescent="0.3">
      <c r="O34" s="1"/>
      <c r="P34" s="1"/>
      <c r="Q34" s="1"/>
      <c r="R34" s="1"/>
      <c r="S34" s="1"/>
      <c r="T34" s="1"/>
      <c r="U34" s="1"/>
    </row>
    <row r="35" spans="15:21" x14ac:dyDescent="0.3">
      <c r="O35" s="1"/>
      <c r="P35" s="1"/>
      <c r="Q35" s="1"/>
      <c r="R35" s="1"/>
      <c r="S35" s="1"/>
      <c r="T35" s="1"/>
      <c r="U35" s="1"/>
    </row>
    <row r="38" spans="15:21" x14ac:dyDescent="0.3">
      <c r="O38" s="1"/>
      <c r="P38" s="1"/>
      <c r="Q38" s="1"/>
      <c r="R38" s="1"/>
      <c r="S38" s="1"/>
      <c r="T38" s="1"/>
      <c r="U38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2026-06-25T12:43:50Z</dcterms:created>
  <dcterms:modified xsi:type="dcterms:W3CDTF">2026-06-25T12:47:12Z</dcterms:modified>
</cp:coreProperties>
</file>